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alm\Downloads\"/>
    </mc:Choice>
  </mc:AlternateContent>
  <xr:revisionPtr revIDLastSave="0" documentId="13_ncr:1_{D80E982E-3525-42D4-819D-6A0904A45767}" xr6:coauthVersionLast="47" xr6:coauthVersionMax="47" xr10:uidLastSave="{00000000-0000-0000-0000-000000000000}"/>
  <bookViews>
    <workbookView xWindow="-120" yWindow="-120" windowWidth="20730" windowHeight="11040" xr2:uid="{0FE45A31-BAD6-49F2-9183-8096D22DC2D6}"/>
  </bookViews>
  <sheets>
    <sheet name="simulador_mdr-flex (simples)" sheetId="1" r:id="rId1"/>
    <sheet name="simulador_mdr-flex (detalhado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" i="2" l="1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7" i="2"/>
  <c r="H11" i="2"/>
  <c r="H12" i="2"/>
  <c r="H8" i="2"/>
  <c r="H9" i="2"/>
  <c r="H10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7" i="2"/>
  <c r="C13" i="2"/>
  <c r="K16" i="2" s="1"/>
  <c r="C12" i="2"/>
  <c r="K9" i="2" s="1"/>
  <c r="C11" i="2"/>
  <c r="K7" i="2" s="1"/>
  <c r="C14" i="2"/>
  <c r="M8" i="2" s="1"/>
  <c r="C15" i="2"/>
  <c r="U11" i="2" s="1"/>
  <c r="V7" i="1"/>
  <c r="L7" i="1"/>
  <c r="J7" i="1"/>
  <c r="G7" i="1"/>
  <c r="O7" i="1"/>
  <c r="T7" i="1"/>
  <c r="M10" i="2" l="1"/>
  <c r="U17" i="2"/>
  <c r="M26" i="2"/>
  <c r="K26" i="2"/>
  <c r="U9" i="2"/>
  <c r="M21" i="2"/>
  <c r="Y21" i="2" s="1"/>
  <c r="AA21" i="2" s="1"/>
  <c r="AC21" i="2" s="1"/>
  <c r="K18" i="2"/>
  <c r="M15" i="2"/>
  <c r="U25" i="2"/>
  <c r="M25" i="2"/>
  <c r="M19" i="2"/>
  <c r="M14" i="2"/>
  <c r="M9" i="2"/>
  <c r="K23" i="2"/>
  <c r="K15" i="2"/>
  <c r="U22" i="2"/>
  <c r="U14" i="2"/>
  <c r="Y9" i="2"/>
  <c r="AA9" i="2" s="1"/>
  <c r="AC9" i="2" s="1"/>
  <c r="M23" i="2"/>
  <c r="M18" i="2"/>
  <c r="M13" i="2"/>
  <c r="K8" i="2"/>
  <c r="K22" i="2"/>
  <c r="K14" i="2"/>
  <c r="U21" i="2"/>
  <c r="U13" i="2"/>
  <c r="K11" i="2"/>
  <c r="Y26" i="2"/>
  <c r="AA26" i="2" s="1"/>
  <c r="AC26" i="2" s="1"/>
  <c r="M27" i="2"/>
  <c r="M22" i="2"/>
  <c r="M17" i="2"/>
  <c r="M11" i="2"/>
  <c r="Y11" i="2" s="1"/>
  <c r="AA11" i="2" s="1"/>
  <c r="AC11" i="2" s="1"/>
  <c r="K27" i="2"/>
  <c r="K19" i="2"/>
  <c r="U26" i="2"/>
  <c r="U18" i="2"/>
  <c r="U10" i="2"/>
  <c r="K10" i="2"/>
  <c r="Y10" i="2" s="1"/>
  <c r="AA10" i="2" s="1"/>
  <c r="AC10" i="2" s="1"/>
  <c r="K12" i="2"/>
  <c r="K25" i="2"/>
  <c r="K21" i="2"/>
  <c r="K17" i="2"/>
  <c r="U7" i="2"/>
  <c r="U24" i="2"/>
  <c r="U20" i="2"/>
  <c r="U16" i="2"/>
  <c r="U12" i="2"/>
  <c r="U8" i="2"/>
  <c r="M7" i="2"/>
  <c r="M24" i="2"/>
  <c r="M20" i="2"/>
  <c r="M16" i="2"/>
  <c r="M12" i="2"/>
  <c r="K13" i="2"/>
  <c r="Y13" i="2" s="1"/>
  <c r="AA13" i="2" s="1"/>
  <c r="AC13" i="2" s="1"/>
  <c r="K24" i="2"/>
  <c r="K20" i="2"/>
  <c r="U27" i="2"/>
  <c r="Y27" i="2" s="1"/>
  <c r="AA27" i="2" s="1"/>
  <c r="AC27" i="2" s="1"/>
  <c r="U23" i="2"/>
  <c r="Y23" i="2" s="1"/>
  <c r="AA23" i="2" s="1"/>
  <c r="AC23" i="2" s="1"/>
  <c r="U19" i="2"/>
  <c r="U15" i="2"/>
  <c r="Y15" i="2" s="1"/>
  <c r="AA15" i="2" s="1"/>
  <c r="AC15" i="2" s="1"/>
  <c r="C10" i="1"/>
  <c r="C11" i="1"/>
  <c r="X7" i="1" s="1"/>
  <c r="Z7" i="1" s="1"/>
  <c r="C12" i="1"/>
  <c r="Y14" i="2" l="1"/>
  <c r="AA14" i="2" s="1"/>
  <c r="AC14" i="2" s="1"/>
  <c r="Y16" i="2"/>
  <c r="AA16" i="2" s="1"/>
  <c r="AC16" i="2" s="1"/>
  <c r="Y8" i="2"/>
  <c r="AA8" i="2" s="1"/>
  <c r="AC8" i="2" s="1"/>
  <c r="Y25" i="2"/>
  <c r="AA25" i="2" s="1"/>
  <c r="AC25" i="2" s="1"/>
  <c r="Y19" i="2"/>
  <c r="AA19" i="2" s="1"/>
  <c r="AC19" i="2" s="1"/>
  <c r="Y7" i="2"/>
  <c r="AA7" i="2" s="1"/>
  <c r="AC7" i="2" s="1"/>
  <c r="Y18" i="2"/>
  <c r="AA18" i="2" s="1"/>
  <c r="AC18" i="2" s="1"/>
  <c r="Y22" i="2"/>
  <c r="AA22" i="2" s="1"/>
  <c r="AC22" i="2" s="1"/>
  <c r="Y24" i="2"/>
  <c r="AA24" i="2" s="1"/>
  <c r="AC24" i="2" s="1"/>
  <c r="Y17" i="2"/>
  <c r="AA17" i="2" s="1"/>
  <c r="AC17" i="2" s="1"/>
  <c r="Y12" i="2"/>
  <c r="AA12" i="2" s="1"/>
  <c r="AC12" i="2" s="1"/>
  <c r="Y20" i="2"/>
  <c r="AA20" i="2" s="1"/>
  <c r="AC20" i="2" s="1"/>
  <c r="AE2" i="1"/>
  <c r="AE3" i="1"/>
</calcChain>
</file>

<file path=xl/sharedStrings.xml><?xml version="1.0" encoding="utf-8"?>
<sst xmlns="http://schemas.openxmlformats.org/spreadsheetml/2006/main" count="325" uniqueCount="31">
  <si>
    <t>Dados da Venda</t>
  </si>
  <si>
    <t>Valor da Venda (Valor Bruto)</t>
  </si>
  <si>
    <t>Fator Base</t>
  </si>
  <si>
    <t>Fator 1ª</t>
  </si>
  <si>
    <t>Fator Parcela Adicional</t>
  </si>
  <si>
    <t>Conversão para o calculo</t>
  </si>
  <si>
    <t>Fator Base em Decimal</t>
  </si>
  <si>
    <t>Fator 1ª em Decimal</t>
  </si>
  <si>
    <t>Fator Parcela Adicional em Decimal</t>
  </si>
  <si>
    <t>Parcelamento</t>
  </si>
  <si>
    <t>Formula de Calculo</t>
  </si>
  <si>
    <t>Calculo da Venda</t>
  </si>
  <si>
    <t>Valor Líquido</t>
  </si>
  <si>
    <t>=</t>
  </si>
  <si>
    <t>x</t>
  </si>
  <si>
    <t>(</t>
  </si>
  <si>
    <t>+</t>
  </si>
  <si>
    <t>-</t>
  </si>
  <si>
    <t>)</t>
  </si>
  <si>
    <t>Total de Taxa</t>
  </si>
  <si>
    <t xml:space="preserve">Total de Taxa = Valor Bruto x (Fator Base + Fator 1ª + (Parcelas - 1) x Fator Adicional) = Valor Bruto x Taxa de Bandeira = Total de Taxa </t>
  </si>
  <si>
    <t xml:space="preserve">Total de Taxa </t>
  </si>
  <si>
    <t xml:space="preserve">Valor Liquidado </t>
  </si>
  <si>
    <t xml:space="preserve">Valor Taxado </t>
  </si>
  <si>
    <t>Fator Base (Crédito  a Vista)</t>
  </si>
  <si>
    <t>Fator Base (Crédito  de 2 a 6)</t>
  </si>
  <si>
    <t>Fator Base (Crédito  de 7 a 21)</t>
  </si>
  <si>
    <t>Fator Base (Crédito  a Vista) em Decimal</t>
  </si>
  <si>
    <t>Fator Base (Crédito  de 2 a 6) em Decimal</t>
  </si>
  <si>
    <t>Fator Base (Crédito  de 7 a 21) em Decimal</t>
  </si>
  <si>
    <t>Parcelas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</si>
</sst>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R$-416]\ * #,##0.00_-;\-[$R$-416]\ * #,##0.00_-;_-[$R$-416]\ * &quot;-&quot;??_-;_-@_-"/>
    <numFmt numFmtId="165" formatCode="0.0000"/>
    <numFmt numFmtId="166" formatCode="_-[$R$-416]\ * #,##0.00_-;\-[$R$-416]\ * #,##0.00_-;_-[$R$-416]\ * &quot;-&quot;????_-;_-@_-"/>
    <numFmt numFmtId="167" formatCode="_-[$R$-416]\ * #,##0.00_-;\-[$R$-416]\ * #,##0.00_-;_-[$R$-416]\ * &quot;-&quot;???_-;_-@_-"/>
    <numFmt numFmtId="168" formatCode="&quot;R$&quot;\ #,##0.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6">
    <xf numFmtId="0" fontId="0" fillId="0" borderId="0" xfId="0"/>
    <xf numFmtId="0" fontId="0" fillId="2" borderId="0" xfId="0" applyFill="1"/>
    <xf numFmtId="164" fontId="0" fillId="3" borderId="1" xfId="0" applyNumberFormat="1" applyFill="1" applyBorder="1" applyAlignment="1">
      <alignment horizontal="center" vertical="center"/>
    </xf>
    <xf numFmtId="10" fontId="0" fillId="3" borderId="2" xfId="0" applyNumberFormat="1" applyFill="1" applyBorder="1" applyAlignment="1">
      <alignment horizontal="center" vertical="center"/>
    </xf>
    <xf numFmtId="0" fontId="0" fillId="2" borderId="5" xfId="0" applyFill="1" applyBorder="1"/>
    <xf numFmtId="165" fontId="0" fillId="2" borderId="2" xfId="1" applyNumberFormat="1" applyFont="1" applyFill="1" applyBorder="1" applyAlignment="1">
      <alignment horizontal="center" vertical="center"/>
    </xf>
    <xf numFmtId="0" fontId="0" fillId="2" borderId="7" xfId="0" applyFill="1" applyBorder="1"/>
    <xf numFmtId="10" fontId="0" fillId="3" borderId="1" xfId="0" applyNumberFormat="1" applyFill="1" applyBorder="1" applyAlignment="1">
      <alignment horizontal="center" vertical="center"/>
    </xf>
    <xf numFmtId="165" fontId="0" fillId="2" borderId="1" xfId="1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6" fontId="0" fillId="2" borderId="0" xfId="0" applyNumberFormat="1" applyFill="1"/>
    <xf numFmtId="0" fontId="0" fillId="2" borderId="0" xfId="0" applyFill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164" fontId="0" fillId="2" borderId="14" xfId="0" applyNumberFormat="1" applyFill="1" applyBorder="1" applyAlignment="1">
      <alignment horizontal="center" vertical="center"/>
    </xf>
    <xf numFmtId="165" fontId="0" fillId="2" borderId="14" xfId="0" applyNumberFormat="1" applyFill="1" applyBorder="1" applyAlignment="1">
      <alignment horizontal="center" vertical="center"/>
    </xf>
    <xf numFmtId="0" fontId="0" fillId="2" borderId="16" xfId="0" applyFill="1" applyBorder="1"/>
    <xf numFmtId="167" fontId="0" fillId="4" borderId="17" xfId="0" applyNumberFormat="1" applyFill="1" applyBorder="1"/>
    <xf numFmtId="0" fontId="0" fillId="2" borderId="19" xfId="0" applyFill="1" applyBorder="1"/>
    <xf numFmtId="164" fontId="0" fillId="5" borderId="20" xfId="0" applyNumberFormat="1" applyFill="1" applyBorder="1"/>
    <xf numFmtId="0" fontId="0" fillId="2" borderId="5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0" fontId="0" fillId="2" borderId="22" xfId="0" applyFill="1" applyBorder="1" applyAlignment="1">
      <alignment horizontal="center" vertical="center"/>
    </xf>
    <xf numFmtId="164" fontId="0" fillId="2" borderId="22" xfId="0" applyNumberFormat="1" applyFill="1" applyBorder="1" applyAlignment="1">
      <alignment horizontal="center" vertical="center"/>
    </xf>
    <xf numFmtId="165" fontId="0" fillId="2" borderId="22" xfId="0" applyNumberForma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164" fontId="0" fillId="2" borderId="19" xfId="0" applyNumberFormat="1" applyFill="1" applyBorder="1" applyAlignment="1">
      <alignment horizontal="center" vertical="center"/>
    </xf>
    <xf numFmtId="165" fontId="0" fillId="2" borderId="19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168" fontId="0" fillId="4" borderId="1" xfId="0" applyNumberFormat="1" applyFill="1" applyBorder="1" applyAlignment="1">
      <alignment horizontal="center" vertical="center"/>
    </xf>
    <xf numFmtId="168" fontId="0" fillId="4" borderId="2" xfId="0" applyNumberFormat="1" applyFill="1" applyBorder="1" applyAlignment="1">
      <alignment horizontal="center" vertical="center"/>
    </xf>
    <xf numFmtId="164" fontId="0" fillId="2" borderId="19" xfId="0" applyNumberFormat="1" applyFill="1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2" borderId="5" xfId="0" applyFill="1" applyBorder="1" applyAlignment="1">
      <alignment horizontal="center" vertical="center"/>
    </xf>
    <xf numFmtId="0" fontId="0" fillId="0" borderId="8" xfId="0" applyBorder="1"/>
    <xf numFmtId="0" fontId="0" fillId="0" borderId="2" xfId="0" applyBorder="1"/>
    <xf numFmtId="164" fontId="0" fillId="5" borderId="22" xfId="0" applyNumberFormat="1" applyFill="1" applyBorder="1" applyAlignment="1">
      <alignment horizontal="center" vertical="center"/>
    </xf>
    <xf numFmtId="164" fontId="0" fillId="5" borderId="19" xfId="0" applyNumberForma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0" borderId="9" xfId="0" applyFont="1" applyBorder="1"/>
    <xf numFmtId="0" fontId="2" fillId="0" borderId="4" xfId="0" applyFont="1" applyBorder="1"/>
    <xf numFmtId="0" fontId="2" fillId="4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0" xfId="0" applyFont="1" applyFill="1"/>
    <xf numFmtId="0" fontId="2" fillId="2" borderId="15" xfId="0" applyFont="1" applyFill="1" applyBorder="1"/>
    <xf numFmtId="0" fontId="2" fillId="2" borderId="18" xfId="0" applyFont="1" applyFill="1" applyBorder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369794</xdr:colOff>
      <xdr:row>6</xdr:row>
      <xdr:rowOff>201703</xdr:rowOff>
    </xdr:from>
    <xdr:ext cx="2095500" cy="874060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D47BB372-CC89-D4DA-8ABB-D05DBE9EA62B}"/>
            </a:ext>
          </a:extLst>
        </xdr:cNvPr>
        <xdr:cNvSpPr txBox="1"/>
      </xdr:nvSpPr>
      <xdr:spPr>
        <a:xfrm>
          <a:off x="11620500" y="1199027"/>
          <a:ext cx="2095500" cy="874060"/>
        </a:xfrm>
        <a:prstGeom prst="rect">
          <a:avLst/>
        </a:prstGeom>
        <a:solidFill>
          <a:schemeClr val="tx1">
            <a:lumMod val="50000"/>
            <a:lumOff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Modifique somente as partes destacadas em cinza.</a:t>
          </a:r>
          <a:endParaRPr lang="en-US">
            <a:effectLst/>
          </a:endParaRPr>
        </a:p>
        <a:p>
          <a:endParaRPr lang="en-US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649942</xdr:colOff>
      <xdr:row>17</xdr:row>
      <xdr:rowOff>24090</xdr:rowOff>
    </xdr:from>
    <xdr:ext cx="2095500" cy="874060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B7B9A1FE-DC19-47B3-A5A2-6BD0EB96CFFD}"/>
            </a:ext>
          </a:extLst>
        </xdr:cNvPr>
        <xdr:cNvSpPr txBox="1"/>
      </xdr:nvSpPr>
      <xdr:spPr>
        <a:xfrm>
          <a:off x="1030942" y="3341031"/>
          <a:ext cx="2095500" cy="874060"/>
        </a:xfrm>
        <a:prstGeom prst="rect">
          <a:avLst/>
        </a:prstGeom>
        <a:solidFill>
          <a:schemeClr val="tx1">
            <a:lumMod val="50000"/>
            <a:lumOff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Modifique somente as partes destacadas em cinza.</a:t>
          </a:r>
          <a:endParaRPr lang="en-US">
            <a:effectLst/>
          </a:endParaRPr>
        </a:p>
        <a:p>
          <a:endParaRPr 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AB8B7-4418-43F0-ADF0-9E6EB0853C92}">
  <dimension ref="A1:AF13"/>
  <sheetViews>
    <sheetView tabSelected="1" zoomScale="85" zoomScaleNormal="85" workbookViewId="0">
      <selection activeCell="C3" sqref="C3"/>
    </sheetView>
  </sheetViews>
  <sheetFormatPr defaultColWidth="0" defaultRowHeight="15" zeroHeight="1" x14ac:dyDescent="0.25"/>
  <cols>
    <col min="1" max="1" width="5.7109375" style="1" customWidth="1"/>
    <col min="2" max="2" width="33.140625" style="1" bestFit="1" customWidth="1"/>
    <col min="3" max="3" width="13.28515625" style="1" bestFit="1" customWidth="1"/>
    <col min="4" max="4" width="5.7109375" style="1" customWidth="1"/>
    <col min="5" max="5" width="12.5703125" style="1" bestFit="1" customWidth="1"/>
    <col min="6" max="6" width="2.140625" style="1" bestFit="1" customWidth="1"/>
    <col min="7" max="7" width="13.28515625" style="1" bestFit="1" customWidth="1"/>
    <col min="8" max="8" width="2" style="1" bestFit="1" customWidth="1"/>
    <col min="9" max="9" width="1.85546875" style="1" bestFit="1" customWidth="1"/>
    <col min="10" max="10" width="6.7109375" style="1" bestFit="1" customWidth="1"/>
    <col min="11" max="11" width="2.140625" style="1" bestFit="1" customWidth="1"/>
    <col min="12" max="12" width="6.7109375" style="1" bestFit="1" customWidth="1"/>
    <col min="13" max="13" width="2.140625" style="1" bestFit="1" customWidth="1"/>
    <col min="14" max="14" width="1.85546875" style="1" bestFit="1" customWidth="1"/>
    <col min="15" max="15" width="2.140625" style="1" bestFit="1" customWidth="1"/>
    <col min="16" max="16" width="1.85546875" style="1" bestFit="1" customWidth="1"/>
    <col min="17" max="17" width="2.140625" style="1" bestFit="1" customWidth="1"/>
    <col min="18" max="18" width="1.85546875" style="1" bestFit="1" customWidth="1"/>
    <col min="19" max="19" width="2" style="1" bestFit="1" customWidth="1"/>
    <col min="20" max="20" width="6.7109375" style="1" bestFit="1" customWidth="1"/>
    <col min="21" max="21" width="2.140625" style="1" bestFit="1" customWidth="1"/>
    <col min="22" max="22" width="13.28515625" style="1" bestFit="1" customWidth="1"/>
    <col min="23" max="23" width="2" style="1" bestFit="1" customWidth="1"/>
    <col min="24" max="24" width="6.7109375" style="1" bestFit="1" customWidth="1"/>
    <col min="25" max="25" width="2.140625" style="1" bestFit="1" customWidth="1"/>
    <col min="26" max="26" width="10.5703125" style="1" bestFit="1" customWidth="1"/>
    <col min="27" max="27" width="5.42578125" style="1" customWidth="1"/>
    <col min="28" max="28" width="5.7109375" style="1" customWidth="1"/>
    <col min="29" max="29" width="15.5703125" style="1" bestFit="1" customWidth="1"/>
    <col min="30" max="30" width="2.140625" style="1" bestFit="1" customWidth="1"/>
    <col min="31" max="31" width="13.140625" style="1" bestFit="1" customWidth="1"/>
    <col min="32" max="32" width="5.7109375" style="1" customWidth="1"/>
    <col min="33" max="16384" width="9.140625" style="1" hidden="1"/>
  </cols>
  <sheetData>
    <row r="1" spans="2:31" ht="15.75" thickBot="1" x14ac:dyDescent="0.3"/>
    <row r="2" spans="2:31" x14ac:dyDescent="0.25">
      <c r="B2" s="39" t="s">
        <v>0</v>
      </c>
      <c r="C2" s="40"/>
      <c r="E2" s="45" t="s">
        <v>10</v>
      </c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7"/>
      <c r="AC2" s="54" t="s">
        <v>12</v>
      </c>
      <c r="AD2" s="16" t="s">
        <v>13</v>
      </c>
      <c r="AE2" s="17">
        <f>C3-Z7</f>
        <v>9429</v>
      </c>
    </row>
    <row r="3" spans="2:31" ht="15.75" thickBot="1" x14ac:dyDescent="0.3">
      <c r="B3" s="6" t="s">
        <v>1</v>
      </c>
      <c r="C3" s="2">
        <v>10000</v>
      </c>
      <c r="D3" s="11"/>
      <c r="E3" s="34" t="s">
        <v>20</v>
      </c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6"/>
      <c r="AC3" s="55" t="s">
        <v>21</v>
      </c>
      <c r="AD3" s="18" t="s">
        <v>13</v>
      </c>
      <c r="AE3" s="19">
        <f>Z7</f>
        <v>571</v>
      </c>
    </row>
    <row r="4" spans="2:31" x14ac:dyDescent="0.25">
      <c r="B4" s="6" t="s">
        <v>9</v>
      </c>
      <c r="C4" s="9">
        <v>2</v>
      </c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2:31" ht="15.75" thickBot="1" x14ac:dyDescent="0.3">
      <c r="B5" s="6" t="s">
        <v>2</v>
      </c>
      <c r="C5" s="7">
        <v>2.18E-2</v>
      </c>
      <c r="D5" s="11"/>
    </row>
    <row r="6" spans="2:31" ht="15.75" thickBot="1" x14ac:dyDescent="0.3">
      <c r="B6" s="6" t="s">
        <v>3</v>
      </c>
      <c r="C6" s="7">
        <v>1.54E-2</v>
      </c>
      <c r="E6" s="50" t="s">
        <v>11</v>
      </c>
      <c r="F6" s="51"/>
      <c r="G6" s="51"/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  <c r="T6" s="51"/>
      <c r="U6" s="51"/>
      <c r="V6" s="51"/>
      <c r="W6" s="51"/>
      <c r="X6" s="51"/>
      <c r="Y6" s="51"/>
      <c r="Z6" s="51"/>
      <c r="AA6" s="52"/>
      <c r="AC6" s="48" t="s">
        <v>22</v>
      </c>
      <c r="AE6" s="49" t="s">
        <v>23</v>
      </c>
    </row>
    <row r="7" spans="2:31" ht="15.75" thickBot="1" x14ac:dyDescent="0.3">
      <c r="B7" s="4" t="s">
        <v>4</v>
      </c>
      <c r="C7" s="3">
        <v>1.9900000000000001E-2</v>
      </c>
      <c r="E7" s="12" t="s">
        <v>19</v>
      </c>
      <c r="F7" s="13" t="s">
        <v>13</v>
      </c>
      <c r="G7" s="14">
        <f>C3</f>
        <v>10000</v>
      </c>
      <c r="H7" s="13" t="s">
        <v>14</v>
      </c>
      <c r="I7" s="13" t="s">
        <v>15</v>
      </c>
      <c r="J7" s="15">
        <f>C10</f>
        <v>2.18E-2</v>
      </c>
      <c r="K7" s="13" t="s">
        <v>16</v>
      </c>
      <c r="L7" s="15">
        <f>C11</f>
        <v>1.54E-2</v>
      </c>
      <c r="M7" s="15" t="s">
        <v>16</v>
      </c>
      <c r="N7" s="13" t="s">
        <v>15</v>
      </c>
      <c r="O7" s="13">
        <f>C4</f>
        <v>2</v>
      </c>
      <c r="P7" s="13" t="s">
        <v>17</v>
      </c>
      <c r="Q7" s="13">
        <v>1</v>
      </c>
      <c r="R7" s="13" t="s">
        <v>18</v>
      </c>
      <c r="S7" s="13" t="s">
        <v>14</v>
      </c>
      <c r="T7" s="15">
        <f>C12</f>
        <v>1.9900000000000001E-2</v>
      </c>
      <c r="U7" s="13" t="s">
        <v>13</v>
      </c>
      <c r="V7" s="14">
        <f>C3</f>
        <v>10000</v>
      </c>
      <c r="W7" s="13" t="s">
        <v>14</v>
      </c>
      <c r="X7" s="15">
        <f>(J7+L7 +(O7-1)*T7)</f>
        <v>5.7099999999999998E-2</v>
      </c>
      <c r="Y7" s="13" t="s">
        <v>13</v>
      </c>
      <c r="Z7" s="32">
        <f>V7*X7</f>
        <v>571</v>
      </c>
      <c r="AA7" s="33"/>
    </row>
    <row r="8" spans="2:31" ht="15.75" thickBot="1" x14ac:dyDescent="0.3">
      <c r="W8" s="10"/>
    </row>
    <row r="9" spans="2:31" x14ac:dyDescent="0.25">
      <c r="B9" s="39" t="s">
        <v>5</v>
      </c>
      <c r="C9" s="40"/>
    </row>
    <row r="10" spans="2:31" x14ac:dyDescent="0.25">
      <c r="B10" s="6" t="s">
        <v>6</v>
      </c>
      <c r="C10" s="8">
        <f>C5/1</f>
        <v>2.18E-2</v>
      </c>
    </row>
    <row r="11" spans="2:31" x14ac:dyDescent="0.25">
      <c r="B11" s="6" t="s">
        <v>7</v>
      </c>
      <c r="C11" s="8">
        <f t="shared" ref="C11" si="0">C6/1</f>
        <v>1.54E-2</v>
      </c>
      <c r="E11" s="53"/>
    </row>
    <row r="12" spans="2:31" ht="15.75" thickBot="1" x14ac:dyDescent="0.3">
      <c r="B12" s="4" t="s">
        <v>8</v>
      </c>
      <c r="C12" s="5">
        <f>C7/1</f>
        <v>1.9900000000000001E-2</v>
      </c>
    </row>
    <row r="13" spans="2:31" x14ac:dyDescent="0.25"/>
  </sheetData>
  <mergeCells count="6">
    <mergeCell ref="B9:C9"/>
    <mergeCell ref="E6:AA6"/>
    <mergeCell ref="Z7:AA7"/>
    <mergeCell ref="E3:AA3"/>
    <mergeCell ref="E2:AA2"/>
    <mergeCell ref="B2:C2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54786-619E-4473-944B-F30F8847A321}">
  <dimension ref="A1:AF28"/>
  <sheetViews>
    <sheetView zoomScale="85" zoomScaleNormal="85" workbookViewId="0">
      <selection activeCell="C3" sqref="C3"/>
    </sheetView>
  </sheetViews>
  <sheetFormatPr defaultColWidth="0" defaultRowHeight="15" zeroHeight="1" x14ac:dyDescent="0.25"/>
  <cols>
    <col min="1" max="1" width="5.7109375" style="1" customWidth="1"/>
    <col min="2" max="2" width="38.7109375" style="1" bestFit="1" customWidth="1"/>
    <col min="3" max="3" width="13.28515625" style="1" bestFit="1" customWidth="1"/>
    <col min="4" max="4" width="5.7109375" style="1" customWidth="1"/>
    <col min="5" max="5" width="8.7109375" style="1" bestFit="1" customWidth="1"/>
    <col min="6" max="6" width="12.5703125" style="1" bestFit="1" customWidth="1"/>
    <col min="7" max="7" width="2.140625" style="1" bestFit="1" customWidth="1"/>
    <col min="8" max="8" width="13.28515625" style="1" bestFit="1" customWidth="1"/>
    <col min="9" max="9" width="2" style="1" bestFit="1" customWidth="1"/>
    <col min="10" max="10" width="1.85546875" style="1" bestFit="1" customWidth="1"/>
    <col min="11" max="11" width="6.7109375" style="1" bestFit="1" customWidth="1"/>
    <col min="12" max="12" width="2.140625" style="1" bestFit="1" customWidth="1"/>
    <col min="13" max="13" width="6.7109375" style="1" bestFit="1" customWidth="1"/>
    <col min="14" max="14" width="2.140625" style="1" bestFit="1" customWidth="1"/>
    <col min="15" max="15" width="1.85546875" style="1" bestFit="1" customWidth="1"/>
    <col min="16" max="16" width="3.140625" style="1" bestFit="1" customWidth="1"/>
    <col min="17" max="17" width="1.85546875" style="1" bestFit="1" customWidth="1"/>
    <col min="18" max="18" width="2.140625" style="1" bestFit="1" customWidth="1"/>
    <col min="19" max="19" width="1.85546875" style="1" bestFit="1" customWidth="1"/>
    <col min="20" max="20" width="2" style="1" bestFit="1" customWidth="1"/>
    <col min="21" max="21" width="6.7109375" style="1" bestFit="1" customWidth="1"/>
    <col min="22" max="22" width="2.140625" style="1" bestFit="1" customWidth="1"/>
    <col min="23" max="23" width="13.28515625" style="1" bestFit="1" customWidth="1"/>
    <col min="24" max="24" width="2" style="1" bestFit="1" customWidth="1"/>
    <col min="25" max="25" width="6.7109375" style="1" bestFit="1" customWidth="1"/>
    <col min="26" max="26" width="2.140625" style="1" bestFit="1" customWidth="1"/>
    <col min="27" max="27" width="5.7109375" style="1" customWidth="1"/>
    <col min="28" max="28" width="7.42578125" style="1" customWidth="1"/>
    <col min="29" max="29" width="12.7109375" style="1" bestFit="1" customWidth="1"/>
    <col min="30" max="30" width="5.7109375" style="1" customWidth="1"/>
    <col min="31" max="31" width="15.5703125" style="1" bestFit="1" customWidth="1"/>
    <col min="32" max="32" width="5.7109375" style="1" customWidth="1"/>
    <col min="33" max="16384" width="5.7109375" style="1" hidden="1"/>
  </cols>
  <sheetData>
    <row r="1" spans="2:31" ht="15.75" thickBot="1" x14ac:dyDescent="0.3"/>
    <row r="2" spans="2:31" ht="15.75" thickBot="1" x14ac:dyDescent="0.3">
      <c r="B2" s="39" t="s">
        <v>0</v>
      </c>
      <c r="C2" s="40"/>
      <c r="F2" s="45" t="s">
        <v>10</v>
      </c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7"/>
      <c r="AE2" s="48" t="s">
        <v>22</v>
      </c>
    </row>
    <row r="3" spans="2:31" ht="15.75" thickBot="1" x14ac:dyDescent="0.3">
      <c r="B3" s="6" t="s">
        <v>1</v>
      </c>
      <c r="C3" s="2">
        <v>10000</v>
      </c>
      <c r="D3" s="11"/>
      <c r="E3" s="11"/>
      <c r="F3" s="34" t="s">
        <v>20</v>
      </c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</row>
    <row r="4" spans="2:31" ht="15.75" thickBot="1" x14ac:dyDescent="0.3">
      <c r="B4" s="6" t="s">
        <v>24</v>
      </c>
      <c r="C4" s="7">
        <v>2.1000000000000001E-2</v>
      </c>
      <c r="D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E4" s="49" t="s">
        <v>23</v>
      </c>
    </row>
    <row r="5" spans="2:31" ht="15.75" thickBot="1" x14ac:dyDescent="0.3">
      <c r="B5" s="6" t="s">
        <v>25</v>
      </c>
      <c r="C5" s="7">
        <v>2.18E-2</v>
      </c>
      <c r="D5" s="11"/>
      <c r="E5" s="11"/>
    </row>
    <row r="6" spans="2:31" x14ac:dyDescent="0.25">
      <c r="B6" s="6" t="s">
        <v>26</v>
      </c>
      <c r="C6" s="7">
        <v>3.2199999999999999E-2</v>
      </c>
      <c r="E6" s="41" t="s">
        <v>30</v>
      </c>
      <c r="F6" s="42" t="s">
        <v>11</v>
      </c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3"/>
      <c r="AC6" s="44" t="s">
        <v>12</v>
      </c>
    </row>
    <row r="7" spans="2:31" x14ac:dyDescent="0.25">
      <c r="B7" s="6" t="s">
        <v>3</v>
      </c>
      <c r="C7" s="7">
        <v>1.54E-2</v>
      </c>
      <c r="E7" s="29">
        <v>1</v>
      </c>
      <c r="F7" s="23" t="s">
        <v>19</v>
      </c>
      <c r="G7" s="23" t="s">
        <v>13</v>
      </c>
      <c r="H7" s="24">
        <f>$C$3</f>
        <v>10000</v>
      </c>
      <c r="I7" s="23" t="s">
        <v>14</v>
      </c>
      <c r="J7" s="23" t="s">
        <v>15</v>
      </c>
      <c r="K7" s="25">
        <f>C11</f>
        <v>2.1000000000000001E-2</v>
      </c>
      <c r="L7" s="23" t="s">
        <v>16</v>
      </c>
      <c r="M7" s="25">
        <f>$C$14</f>
        <v>1.54E-2</v>
      </c>
      <c r="N7" s="25" t="s">
        <v>16</v>
      </c>
      <c r="O7" s="23" t="s">
        <v>15</v>
      </c>
      <c r="P7" s="23">
        <v>1</v>
      </c>
      <c r="Q7" s="23" t="s">
        <v>17</v>
      </c>
      <c r="R7" s="23">
        <v>1</v>
      </c>
      <c r="S7" s="23" t="s">
        <v>18</v>
      </c>
      <c r="T7" s="23" t="s">
        <v>14</v>
      </c>
      <c r="U7" s="25">
        <f>$C$15</f>
        <v>1.9900000000000001E-2</v>
      </c>
      <c r="V7" s="23" t="s">
        <v>13</v>
      </c>
      <c r="W7" s="24">
        <f>$C$3</f>
        <v>10000</v>
      </c>
      <c r="X7" s="23" t="s">
        <v>14</v>
      </c>
      <c r="Y7" s="25">
        <f>(K7+M7 +(P7-1)*U7)</f>
        <v>3.6400000000000002E-2</v>
      </c>
      <c r="Z7" s="23" t="s">
        <v>13</v>
      </c>
      <c r="AA7" s="37">
        <f>W7*Y7</f>
        <v>364</v>
      </c>
      <c r="AB7" s="37"/>
      <c r="AC7" s="30">
        <f>W7-AA7</f>
        <v>9636</v>
      </c>
    </row>
    <row r="8" spans="2:31" ht="15.75" thickBot="1" x14ac:dyDescent="0.3">
      <c r="B8" s="4" t="s">
        <v>4</v>
      </c>
      <c r="C8" s="3">
        <v>1.9900000000000001E-2</v>
      </c>
      <c r="E8" s="29">
        <v>2</v>
      </c>
      <c r="F8" s="23" t="s">
        <v>19</v>
      </c>
      <c r="G8" s="23" t="s">
        <v>13</v>
      </c>
      <c r="H8" s="24">
        <f t="shared" ref="H8:H27" si="0">$C$3</f>
        <v>10000</v>
      </c>
      <c r="I8" s="23" t="s">
        <v>14</v>
      </c>
      <c r="J8" s="23" t="s">
        <v>15</v>
      </c>
      <c r="K8" s="25">
        <f>$C$12</f>
        <v>2.18E-2</v>
      </c>
      <c r="L8" s="23" t="s">
        <v>16</v>
      </c>
      <c r="M8" s="25">
        <f t="shared" ref="M8:M27" si="1">$C$14</f>
        <v>1.54E-2</v>
      </c>
      <c r="N8" s="25" t="s">
        <v>16</v>
      </c>
      <c r="O8" s="23" t="s">
        <v>15</v>
      </c>
      <c r="P8" s="23">
        <v>2</v>
      </c>
      <c r="Q8" s="23" t="s">
        <v>17</v>
      </c>
      <c r="R8" s="23">
        <v>1</v>
      </c>
      <c r="S8" s="23" t="s">
        <v>18</v>
      </c>
      <c r="T8" s="23" t="s">
        <v>14</v>
      </c>
      <c r="U8" s="25">
        <f t="shared" ref="U8:U27" si="2">$C$15</f>
        <v>1.9900000000000001E-2</v>
      </c>
      <c r="V8" s="23" t="s">
        <v>13</v>
      </c>
      <c r="W8" s="24">
        <f t="shared" ref="W8:W27" si="3">$C$3</f>
        <v>10000</v>
      </c>
      <c r="X8" s="23" t="s">
        <v>14</v>
      </c>
      <c r="Y8" s="25">
        <f t="shared" ref="Y8:Y27" si="4">(K8+M8 +(P8-1)*U8)</f>
        <v>5.7099999999999998E-2</v>
      </c>
      <c r="Z8" s="23" t="s">
        <v>13</v>
      </c>
      <c r="AA8" s="37">
        <f t="shared" ref="AA8:AA27" si="5">W8*Y8</f>
        <v>571</v>
      </c>
      <c r="AB8" s="37"/>
      <c r="AC8" s="30">
        <f t="shared" ref="AC8:AC27" si="6">W8-AA8</f>
        <v>9429</v>
      </c>
    </row>
    <row r="9" spans="2:31" ht="15.75" thickBot="1" x14ac:dyDescent="0.3">
      <c r="E9" s="29">
        <v>3</v>
      </c>
      <c r="F9" s="23" t="s">
        <v>19</v>
      </c>
      <c r="G9" s="23" t="s">
        <v>13</v>
      </c>
      <c r="H9" s="24">
        <f t="shared" si="0"/>
        <v>10000</v>
      </c>
      <c r="I9" s="23" t="s">
        <v>14</v>
      </c>
      <c r="J9" s="23" t="s">
        <v>15</v>
      </c>
      <c r="K9" s="25">
        <f t="shared" ref="K9:K10" si="7">$C$12</f>
        <v>2.18E-2</v>
      </c>
      <c r="L9" s="23" t="s">
        <v>16</v>
      </c>
      <c r="M9" s="25">
        <f t="shared" si="1"/>
        <v>1.54E-2</v>
      </c>
      <c r="N9" s="25" t="s">
        <v>16</v>
      </c>
      <c r="O9" s="23" t="s">
        <v>15</v>
      </c>
      <c r="P9" s="23">
        <v>3</v>
      </c>
      <c r="Q9" s="23" t="s">
        <v>17</v>
      </c>
      <c r="R9" s="23">
        <v>1</v>
      </c>
      <c r="S9" s="23" t="s">
        <v>18</v>
      </c>
      <c r="T9" s="23" t="s">
        <v>14</v>
      </c>
      <c r="U9" s="25">
        <f t="shared" si="2"/>
        <v>1.9900000000000001E-2</v>
      </c>
      <c r="V9" s="23" t="s">
        <v>13</v>
      </c>
      <c r="W9" s="24">
        <f t="shared" si="3"/>
        <v>10000</v>
      </c>
      <c r="X9" s="23" t="s">
        <v>14</v>
      </c>
      <c r="Y9" s="25">
        <f t="shared" si="4"/>
        <v>7.6999999999999999E-2</v>
      </c>
      <c r="Z9" s="23" t="s">
        <v>13</v>
      </c>
      <c r="AA9" s="37">
        <f t="shared" si="5"/>
        <v>770</v>
      </c>
      <c r="AB9" s="37"/>
      <c r="AC9" s="30">
        <f t="shared" si="6"/>
        <v>9230</v>
      </c>
    </row>
    <row r="10" spans="2:31" x14ac:dyDescent="0.25">
      <c r="B10" s="39" t="s">
        <v>5</v>
      </c>
      <c r="C10" s="40"/>
      <c r="E10" s="29">
        <v>4</v>
      </c>
      <c r="F10" s="23" t="s">
        <v>19</v>
      </c>
      <c r="G10" s="23" t="s">
        <v>13</v>
      </c>
      <c r="H10" s="24">
        <f t="shared" si="0"/>
        <v>10000</v>
      </c>
      <c r="I10" s="23" t="s">
        <v>14</v>
      </c>
      <c r="J10" s="23" t="s">
        <v>15</v>
      </c>
      <c r="K10" s="25">
        <f t="shared" si="7"/>
        <v>2.18E-2</v>
      </c>
      <c r="L10" s="23" t="s">
        <v>16</v>
      </c>
      <c r="M10" s="25">
        <f t="shared" si="1"/>
        <v>1.54E-2</v>
      </c>
      <c r="N10" s="25" t="s">
        <v>16</v>
      </c>
      <c r="O10" s="23" t="s">
        <v>15</v>
      </c>
      <c r="P10" s="23">
        <v>4</v>
      </c>
      <c r="Q10" s="23" t="s">
        <v>17</v>
      </c>
      <c r="R10" s="23">
        <v>1</v>
      </c>
      <c r="S10" s="23" t="s">
        <v>18</v>
      </c>
      <c r="T10" s="23" t="s">
        <v>14</v>
      </c>
      <c r="U10" s="25">
        <f t="shared" si="2"/>
        <v>1.9900000000000001E-2</v>
      </c>
      <c r="V10" s="23" t="s">
        <v>13</v>
      </c>
      <c r="W10" s="24">
        <f t="shared" si="3"/>
        <v>10000</v>
      </c>
      <c r="X10" s="23" t="s">
        <v>14</v>
      </c>
      <c r="Y10" s="25">
        <f t="shared" si="4"/>
        <v>9.69E-2</v>
      </c>
      <c r="Z10" s="23" t="s">
        <v>13</v>
      </c>
      <c r="AA10" s="37">
        <f t="shared" si="5"/>
        <v>969</v>
      </c>
      <c r="AB10" s="37"/>
      <c r="AC10" s="30">
        <f t="shared" si="6"/>
        <v>9031</v>
      </c>
    </row>
    <row r="11" spans="2:31" x14ac:dyDescent="0.25">
      <c r="B11" s="6" t="s">
        <v>27</v>
      </c>
      <c r="C11" s="22">
        <f>C4/1</f>
        <v>2.1000000000000001E-2</v>
      </c>
      <c r="E11" s="29">
        <v>5</v>
      </c>
      <c r="F11" s="23" t="s">
        <v>19</v>
      </c>
      <c r="G11" s="23" t="s">
        <v>13</v>
      </c>
      <c r="H11" s="24">
        <f>$C$3</f>
        <v>10000</v>
      </c>
      <c r="I11" s="23" t="s">
        <v>14</v>
      </c>
      <c r="J11" s="23" t="s">
        <v>15</v>
      </c>
      <c r="K11" s="25">
        <f>$C$12</f>
        <v>2.18E-2</v>
      </c>
      <c r="L11" s="23" t="s">
        <v>16</v>
      </c>
      <c r="M11" s="25">
        <f t="shared" si="1"/>
        <v>1.54E-2</v>
      </c>
      <c r="N11" s="25" t="s">
        <v>16</v>
      </c>
      <c r="O11" s="23" t="s">
        <v>15</v>
      </c>
      <c r="P11" s="23">
        <v>5</v>
      </c>
      <c r="Q11" s="23" t="s">
        <v>17</v>
      </c>
      <c r="R11" s="23">
        <v>1</v>
      </c>
      <c r="S11" s="23" t="s">
        <v>18</v>
      </c>
      <c r="T11" s="23" t="s">
        <v>14</v>
      </c>
      <c r="U11" s="25">
        <f t="shared" si="2"/>
        <v>1.9900000000000001E-2</v>
      </c>
      <c r="V11" s="23" t="s">
        <v>13</v>
      </c>
      <c r="W11" s="24">
        <f t="shared" si="3"/>
        <v>10000</v>
      </c>
      <c r="X11" s="23" t="s">
        <v>14</v>
      </c>
      <c r="Y11" s="25">
        <f t="shared" si="4"/>
        <v>0.1168</v>
      </c>
      <c r="Z11" s="23" t="s">
        <v>13</v>
      </c>
      <c r="AA11" s="37">
        <f t="shared" si="5"/>
        <v>1168</v>
      </c>
      <c r="AB11" s="37"/>
      <c r="AC11" s="30">
        <f t="shared" si="6"/>
        <v>8832</v>
      </c>
    </row>
    <row r="12" spans="2:31" x14ac:dyDescent="0.25">
      <c r="B12" s="6" t="s">
        <v>28</v>
      </c>
      <c r="C12" s="21">
        <f>C5/1</f>
        <v>2.18E-2</v>
      </c>
      <c r="E12" s="29">
        <v>6</v>
      </c>
      <c r="F12" s="23" t="s">
        <v>19</v>
      </c>
      <c r="G12" s="23" t="s">
        <v>13</v>
      </c>
      <c r="H12" s="24">
        <f>$C$3</f>
        <v>10000</v>
      </c>
      <c r="I12" s="23" t="s">
        <v>14</v>
      </c>
      <c r="J12" s="23" t="s">
        <v>15</v>
      </c>
      <c r="K12" s="25">
        <f>$C$12</f>
        <v>2.18E-2</v>
      </c>
      <c r="L12" s="23" t="s">
        <v>16</v>
      </c>
      <c r="M12" s="25">
        <f t="shared" si="1"/>
        <v>1.54E-2</v>
      </c>
      <c r="N12" s="25" t="s">
        <v>16</v>
      </c>
      <c r="O12" s="23" t="s">
        <v>15</v>
      </c>
      <c r="P12" s="23">
        <v>6</v>
      </c>
      <c r="Q12" s="23" t="s">
        <v>17</v>
      </c>
      <c r="R12" s="23">
        <v>1</v>
      </c>
      <c r="S12" s="23" t="s">
        <v>18</v>
      </c>
      <c r="T12" s="23" t="s">
        <v>14</v>
      </c>
      <c r="U12" s="25">
        <f t="shared" si="2"/>
        <v>1.9900000000000001E-2</v>
      </c>
      <c r="V12" s="23" t="s">
        <v>13</v>
      </c>
      <c r="W12" s="24">
        <f t="shared" si="3"/>
        <v>10000</v>
      </c>
      <c r="X12" s="23" t="s">
        <v>14</v>
      </c>
      <c r="Y12" s="25">
        <f t="shared" si="4"/>
        <v>0.13669999999999999</v>
      </c>
      <c r="Z12" s="23" t="s">
        <v>13</v>
      </c>
      <c r="AA12" s="37">
        <f t="shared" si="5"/>
        <v>1366.9999999999998</v>
      </c>
      <c r="AB12" s="37"/>
      <c r="AC12" s="30">
        <f t="shared" si="6"/>
        <v>8633</v>
      </c>
    </row>
    <row r="13" spans="2:31" x14ac:dyDescent="0.25">
      <c r="B13" s="6" t="s">
        <v>29</v>
      </c>
      <c r="C13" s="8">
        <f>C6/1</f>
        <v>3.2199999999999999E-2</v>
      </c>
      <c r="E13" s="29">
        <v>7</v>
      </c>
      <c r="F13" s="23" t="s">
        <v>19</v>
      </c>
      <c r="G13" s="23" t="s">
        <v>13</v>
      </c>
      <c r="H13" s="24">
        <f t="shared" si="0"/>
        <v>10000</v>
      </c>
      <c r="I13" s="23" t="s">
        <v>14</v>
      </c>
      <c r="J13" s="23" t="s">
        <v>15</v>
      </c>
      <c r="K13" s="25">
        <f>$C$13</f>
        <v>3.2199999999999999E-2</v>
      </c>
      <c r="L13" s="23" t="s">
        <v>16</v>
      </c>
      <c r="M13" s="25">
        <f t="shared" si="1"/>
        <v>1.54E-2</v>
      </c>
      <c r="N13" s="25" t="s">
        <v>16</v>
      </c>
      <c r="O13" s="23" t="s">
        <v>15</v>
      </c>
      <c r="P13" s="23">
        <v>7</v>
      </c>
      <c r="Q13" s="23" t="s">
        <v>17</v>
      </c>
      <c r="R13" s="23">
        <v>1</v>
      </c>
      <c r="S13" s="23" t="s">
        <v>18</v>
      </c>
      <c r="T13" s="23" t="s">
        <v>14</v>
      </c>
      <c r="U13" s="25">
        <f t="shared" si="2"/>
        <v>1.9900000000000001E-2</v>
      </c>
      <c r="V13" s="23" t="s">
        <v>13</v>
      </c>
      <c r="W13" s="24">
        <f t="shared" si="3"/>
        <v>10000</v>
      </c>
      <c r="X13" s="23" t="s">
        <v>14</v>
      </c>
      <c r="Y13" s="25">
        <f t="shared" si="4"/>
        <v>0.16700000000000001</v>
      </c>
      <c r="Z13" s="23" t="s">
        <v>13</v>
      </c>
      <c r="AA13" s="37">
        <f t="shared" si="5"/>
        <v>1670</v>
      </c>
      <c r="AB13" s="37"/>
      <c r="AC13" s="30">
        <f t="shared" si="6"/>
        <v>8330</v>
      </c>
    </row>
    <row r="14" spans="2:31" x14ac:dyDescent="0.25">
      <c r="B14" s="6" t="s">
        <v>7</v>
      </c>
      <c r="C14" s="8">
        <f>C7/1</f>
        <v>1.54E-2</v>
      </c>
      <c r="E14" s="29">
        <v>8</v>
      </c>
      <c r="F14" s="23" t="s">
        <v>19</v>
      </c>
      <c r="G14" s="23" t="s">
        <v>13</v>
      </c>
      <c r="H14" s="24">
        <f t="shared" si="0"/>
        <v>10000</v>
      </c>
      <c r="I14" s="23" t="s">
        <v>14</v>
      </c>
      <c r="J14" s="23" t="s">
        <v>15</v>
      </c>
      <c r="K14" s="25">
        <f t="shared" ref="K14:K27" si="8">$C$13</f>
        <v>3.2199999999999999E-2</v>
      </c>
      <c r="L14" s="23" t="s">
        <v>16</v>
      </c>
      <c r="M14" s="25">
        <f t="shared" si="1"/>
        <v>1.54E-2</v>
      </c>
      <c r="N14" s="25" t="s">
        <v>16</v>
      </c>
      <c r="O14" s="23" t="s">
        <v>15</v>
      </c>
      <c r="P14" s="23">
        <v>8</v>
      </c>
      <c r="Q14" s="23" t="s">
        <v>17</v>
      </c>
      <c r="R14" s="23">
        <v>1</v>
      </c>
      <c r="S14" s="23" t="s">
        <v>18</v>
      </c>
      <c r="T14" s="23" t="s">
        <v>14</v>
      </c>
      <c r="U14" s="25">
        <f t="shared" si="2"/>
        <v>1.9900000000000001E-2</v>
      </c>
      <c r="V14" s="23" t="s">
        <v>13</v>
      </c>
      <c r="W14" s="24">
        <f t="shared" si="3"/>
        <v>10000</v>
      </c>
      <c r="X14" s="23" t="s">
        <v>14</v>
      </c>
      <c r="Y14" s="25">
        <f t="shared" si="4"/>
        <v>0.18690000000000001</v>
      </c>
      <c r="Z14" s="23" t="s">
        <v>13</v>
      </c>
      <c r="AA14" s="37">
        <f t="shared" si="5"/>
        <v>1869</v>
      </c>
      <c r="AB14" s="37"/>
      <c r="AC14" s="30">
        <f t="shared" si="6"/>
        <v>8131</v>
      </c>
    </row>
    <row r="15" spans="2:31" ht="15.75" thickBot="1" x14ac:dyDescent="0.3">
      <c r="B15" s="4" t="s">
        <v>8</v>
      </c>
      <c r="C15" s="5">
        <f>C8/1</f>
        <v>1.9900000000000001E-2</v>
      </c>
      <c r="E15" s="29">
        <v>9</v>
      </c>
      <c r="F15" s="23" t="s">
        <v>19</v>
      </c>
      <c r="G15" s="23" t="s">
        <v>13</v>
      </c>
      <c r="H15" s="24">
        <f t="shared" si="0"/>
        <v>10000</v>
      </c>
      <c r="I15" s="23" t="s">
        <v>14</v>
      </c>
      <c r="J15" s="23" t="s">
        <v>15</v>
      </c>
      <c r="K15" s="25">
        <f t="shared" si="8"/>
        <v>3.2199999999999999E-2</v>
      </c>
      <c r="L15" s="23" t="s">
        <v>16</v>
      </c>
      <c r="M15" s="25">
        <f t="shared" si="1"/>
        <v>1.54E-2</v>
      </c>
      <c r="N15" s="25" t="s">
        <v>16</v>
      </c>
      <c r="O15" s="23" t="s">
        <v>15</v>
      </c>
      <c r="P15" s="23">
        <v>9</v>
      </c>
      <c r="Q15" s="23" t="s">
        <v>17</v>
      </c>
      <c r="R15" s="23">
        <v>1</v>
      </c>
      <c r="S15" s="23" t="s">
        <v>18</v>
      </c>
      <c r="T15" s="23" t="s">
        <v>14</v>
      </c>
      <c r="U15" s="25">
        <f t="shared" si="2"/>
        <v>1.9900000000000001E-2</v>
      </c>
      <c r="V15" s="23" t="s">
        <v>13</v>
      </c>
      <c r="W15" s="24">
        <f t="shared" si="3"/>
        <v>10000</v>
      </c>
      <c r="X15" s="23" t="s">
        <v>14</v>
      </c>
      <c r="Y15" s="25">
        <f t="shared" si="4"/>
        <v>0.20680000000000001</v>
      </c>
      <c r="Z15" s="23" t="s">
        <v>13</v>
      </c>
      <c r="AA15" s="37">
        <f>W15*Y15</f>
        <v>2068</v>
      </c>
      <c r="AB15" s="37"/>
      <c r="AC15" s="30">
        <f t="shared" si="6"/>
        <v>7932</v>
      </c>
    </row>
    <row r="16" spans="2:31" x14ac:dyDescent="0.25">
      <c r="E16" s="29">
        <v>10</v>
      </c>
      <c r="F16" s="23" t="s">
        <v>19</v>
      </c>
      <c r="G16" s="23" t="s">
        <v>13</v>
      </c>
      <c r="H16" s="24">
        <f t="shared" si="0"/>
        <v>10000</v>
      </c>
      <c r="I16" s="23" t="s">
        <v>14</v>
      </c>
      <c r="J16" s="23" t="s">
        <v>15</v>
      </c>
      <c r="K16" s="25">
        <f t="shared" si="8"/>
        <v>3.2199999999999999E-2</v>
      </c>
      <c r="L16" s="23" t="s">
        <v>16</v>
      </c>
      <c r="M16" s="25">
        <f t="shared" si="1"/>
        <v>1.54E-2</v>
      </c>
      <c r="N16" s="25" t="s">
        <v>16</v>
      </c>
      <c r="O16" s="23" t="s">
        <v>15</v>
      </c>
      <c r="P16" s="23">
        <v>10</v>
      </c>
      <c r="Q16" s="23" t="s">
        <v>17</v>
      </c>
      <c r="R16" s="23">
        <v>1</v>
      </c>
      <c r="S16" s="23" t="s">
        <v>18</v>
      </c>
      <c r="T16" s="23" t="s">
        <v>14</v>
      </c>
      <c r="U16" s="25">
        <f t="shared" si="2"/>
        <v>1.9900000000000001E-2</v>
      </c>
      <c r="V16" s="23" t="s">
        <v>13</v>
      </c>
      <c r="W16" s="24">
        <f t="shared" si="3"/>
        <v>10000</v>
      </c>
      <c r="X16" s="23" t="s">
        <v>14</v>
      </c>
      <c r="Y16" s="25">
        <f t="shared" si="4"/>
        <v>0.22670000000000001</v>
      </c>
      <c r="Z16" s="23" t="s">
        <v>13</v>
      </c>
      <c r="AA16" s="37">
        <f t="shared" si="5"/>
        <v>2267</v>
      </c>
      <c r="AB16" s="37"/>
      <c r="AC16" s="30">
        <f t="shared" si="6"/>
        <v>7733</v>
      </c>
    </row>
    <row r="17" spans="5:29" x14ac:dyDescent="0.25">
      <c r="E17" s="29">
        <v>11</v>
      </c>
      <c r="F17" s="23" t="s">
        <v>19</v>
      </c>
      <c r="G17" s="23" t="s">
        <v>13</v>
      </c>
      <c r="H17" s="24">
        <f t="shared" si="0"/>
        <v>10000</v>
      </c>
      <c r="I17" s="23" t="s">
        <v>14</v>
      </c>
      <c r="J17" s="23" t="s">
        <v>15</v>
      </c>
      <c r="K17" s="25">
        <f t="shared" si="8"/>
        <v>3.2199999999999999E-2</v>
      </c>
      <c r="L17" s="23" t="s">
        <v>16</v>
      </c>
      <c r="M17" s="25">
        <f t="shared" si="1"/>
        <v>1.54E-2</v>
      </c>
      <c r="N17" s="25" t="s">
        <v>16</v>
      </c>
      <c r="O17" s="23" t="s">
        <v>15</v>
      </c>
      <c r="P17" s="23">
        <v>11</v>
      </c>
      <c r="Q17" s="23" t="s">
        <v>17</v>
      </c>
      <c r="R17" s="23">
        <v>1</v>
      </c>
      <c r="S17" s="23" t="s">
        <v>18</v>
      </c>
      <c r="T17" s="23" t="s">
        <v>14</v>
      </c>
      <c r="U17" s="25">
        <f t="shared" si="2"/>
        <v>1.9900000000000001E-2</v>
      </c>
      <c r="V17" s="23" t="s">
        <v>13</v>
      </c>
      <c r="W17" s="24">
        <f t="shared" si="3"/>
        <v>10000</v>
      </c>
      <c r="X17" s="23" t="s">
        <v>14</v>
      </c>
      <c r="Y17" s="25">
        <f t="shared" si="4"/>
        <v>0.24660000000000001</v>
      </c>
      <c r="Z17" s="23" t="s">
        <v>13</v>
      </c>
      <c r="AA17" s="37">
        <f t="shared" si="5"/>
        <v>2466</v>
      </c>
      <c r="AB17" s="37"/>
      <c r="AC17" s="30">
        <f t="shared" si="6"/>
        <v>7534</v>
      </c>
    </row>
    <row r="18" spans="5:29" x14ac:dyDescent="0.25">
      <c r="E18" s="29">
        <v>12</v>
      </c>
      <c r="F18" s="23" t="s">
        <v>19</v>
      </c>
      <c r="G18" s="23" t="s">
        <v>13</v>
      </c>
      <c r="H18" s="24">
        <f t="shared" si="0"/>
        <v>10000</v>
      </c>
      <c r="I18" s="23" t="s">
        <v>14</v>
      </c>
      <c r="J18" s="23" t="s">
        <v>15</v>
      </c>
      <c r="K18" s="25">
        <f t="shared" si="8"/>
        <v>3.2199999999999999E-2</v>
      </c>
      <c r="L18" s="23" t="s">
        <v>16</v>
      </c>
      <c r="M18" s="25">
        <f t="shared" si="1"/>
        <v>1.54E-2</v>
      </c>
      <c r="N18" s="25" t="s">
        <v>16</v>
      </c>
      <c r="O18" s="23" t="s">
        <v>15</v>
      </c>
      <c r="P18" s="23">
        <v>12</v>
      </c>
      <c r="Q18" s="23" t="s">
        <v>17</v>
      </c>
      <c r="R18" s="23">
        <v>1</v>
      </c>
      <c r="S18" s="23" t="s">
        <v>18</v>
      </c>
      <c r="T18" s="23" t="s">
        <v>14</v>
      </c>
      <c r="U18" s="25">
        <f t="shared" si="2"/>
        <v>1.9900000000000001E-2</v>
      </c>
      <c r="V18" s="23" t="s">
        <v>13</v>
      </c>
      <c r="W18" s="24">
        <f t="shared" si="3"/>
        <v>10000</v>
      </c>
      <c r="X18" s="23" t="s">
        <v>14</v>
      </c>
      <c r="Y18" s="25">
        <f t="shared" si="4"/>
        <v>0.26650000000000001</v>
      </c>
      <c r="Z18" s="23" t="s">
        <v>13</v>
      </c>
      <c r="AA18" s="37">
        <f t="shared" si="5"/>
        <v>2665</v>
      </c>
      <c r="AB18" s="37"/>
      <c r="AC18" s="30">
        <f t="shared" si="6"/>
        <v>7335</v>
      </c>
    </row>
    <row r="19" spans="5:29" x14ac:dyDescent="0.25">
      <c r="E19" s="29">
        <v>13</v>
      </c>
      <c r="F19" s="23" t="s">
        <v>19</v>
      </c>
      <c r="G19" s="23" t="s">
        <v>13</v>
      </c>
      <c r="H19" s="24">
        <f t="shared" si="0"/>
        <v>10000</v>
      </c>
      <c r="I19" s="23" t="s">
        <v>14</v>
      </c>
      <c r="J19" s="23" t="s">
        <v>15</v>
      </c>
      <c r="K19" s="25">
        <f t="shared" si="8"/>
        <v>3.2199999999999999E-2</v>
      </c>
      <c r="L19" s="23" t="s">
        <v>16</v>
      </c>
      <c r="M19" s="25">
        <f t="shared" si="1"/>
        <v>1.54E-2</v>
      </c>
      <c r="N19" s="25" t="s">
        <v>16</v>
      </c>
      <c r="O19" s="23" t="s">
        <v>15</v>
      </c>
      <c r="P19" s="23">
        <v>13</v>
      </c>
      <c r="Q19" s="23" t="s">
        <v>17</v>
      </c>
      <c r="R19" s="23">
        <v>1</v>
      </c>
      <c r="S19" s="23" t="s">
        <v>18</v>
      </c>
      <c r="T19" s="23" t="s">
        <v>14</v>
      </c>
      <c r="U19" s="25">
        <f t="shared" si="2"/>
        <v>1.9900000000000001E-2</v>
      </c>
      <c r="V19" s="23" t="s">
        <v>13</v>
      </c>
      <c r="W19" s="24">
        <f t="shared" si="3"/>
        <v>10000</v>
      </c>
      <c r="X19" s="23" t="s">
        <v>14</v>
      </c>
      <c r="Y19" s="25">
        <f t="shared" si="4"/>
        <v>0.28639999999999999</v>
      </c>
      <c r="Z19" s="23" t="s">
        <v>13</v>
      </c>
      <c r="AA19" s="37">
        <f t="shared" si="5"/>
        <v>2864</v>
      </c>
      <c r="AB19" s="37"/>
      <c r="AC19" s="30">
        <f t="shared" si="6"/>
        <v>7136</v>
      </c>
    </row>
    <row r="20" spans="5:29" x14ac:dyDescent="0.25">
      <c r="E20" s="29">
        <v>14</v>
      </c>
      <c r="F20" s="23" t="s">
        <v>19</v>
      </c>
      <c r="G20" s="23" t="s">
        <v>13</v>
      </c>
      <c r="H20" s="24">
        <f t="shared" si="0"/>
        <v>10000</v>
      </c>
      <c r="I20" s="23" t="s">
        <v>14</v>
      </c>
      <c r="J20" s="23" t="s">
        <v>15</v>
      </c>
      <c r="K20" s="25">
        <f t="shared" si="8"/>
        <v>3.2199999999999999E-2</v>
      </c>
      <c r="L20" s="23" t="s">
        <v>16</v>
      </c>
      <c r="M20" s="25">
        <f t="shared" si="1"/>
        <v>1.54E-2</v>
      </c>
      <c r="N20" s="25" t="s">
        <v>16</v>
      </c>
      <c r="O20" s="23" t="s">
        <v>15</v>
      </c>
      <c r="P20" s="23">
        <v>14</v>
      </c>
      <c r="Q20" s="23" t="s">
        <v>17</v>
      </c>
      <c r="R20" s="23">
        <v>1</v>
      </c>
      <c r="S20" s="23" t="s">
        <v>18</v>
      </c>
      <c r="T20" s="23" t="s">
        <v>14</v>
      </c>
      <c r="U20" s="25">
        <f t="shared" si="2"/>
        <v>1.9900000000000001E-2</v>
      </c>
      <c r="V20" s="23" t="s">
        <v>13</v>
      </c>
      <c r="W20" s="24">
        <f t="shared" si="3"/>
        <v>10000</v>
      </c>
      <c r="X20" s="23" t="s">
        <v>14</v>
      </c>
      <c r="Y20" s="25">
        <f t="shared" si="4"/>
        <v>0.30630000000000002</v>
      </c>
      <c r="Z20" s="23" t="s">
        <v>13</v>
      </c>
      <c r="AA20" s="37">
        <f t="shared" si="5"/>
        <v>3063</v>
      </c>
      <c r="AB20" s="37"/>
      <c r="AC20" s="30">
        <f t="shared" si="6"/>
        <v>6937</v>
      </c>
    </row>
    <row r="21" spans="5:29" x14ac:dyDescent="0.25">
      <c r="E21" s="29">
        <v>15</v>
      </c>
      <c r="F21" s="23" t="s">
        <v>19</v>
      </c>
      <c r="G21" s="23" t="s">
        <v>13</v>
      </c>
      <c r="H21" s="24">
        <f t="shared" si="0"/>
        <v>10000</v>
      </c>
      <c r="I21" s="23" t="s">
        <v>14</v>
      </c>
      <c r="J21" s="23" t="s">
        <v>15</v>
      </c>
      <c r="K21" s="25">
        <f t="shared" si="8"/>
        <v>3.2199999999999999E-2</v>
      </c>
      <c r="L21" s="23" t="s">
        <v>16</v>
      </c>
      <c r="M21" s="25">
        <f t="shared" si="1"/>
        <v>1.54E-2</v>
      </c>
      <c r="N21" s="25" t="s">
        <v>16</v>
      </c>
      <c r="O21" s="23" t="s">
        <v>15</v>
      </c>
      <c r="P21" s="23">
        <v>15</v>
      </c>
      <c r="Q21" s="23" t="s">
        <v>17</v>
      </c>
      <c r="R21" s="23">
        <v>1</v>
      </c>
      <c r="S21" s="23" t="s">
        <v>18</v>
      </c>
      <c r="T21" s="23" t="s">
        <v>14</v>
      </c>
      <c r="U21" s="25">
        <f t="shared" si="2"/>
        <v>1.9900000000000001E-2</v>
      </c>
      <c r="V21" s="23" t="s">
        <v>13</v>
      </c>
      <c r="W21" s="24">
        <f t="shared" si="3"/>
        <v>10000</v>
      </c>
      <c r="X21" s="23" t="s">
        <v>14</v>
      </c>
      <c r="Y21" s="25">
        <f t="shared" si="4"/>
        <v>0.32620000000000005</v>
      </c>
      <c r="Z21" s="23" t="s">
        <v>13</v>
      </c>
      <c r="AA21" s="37">
        <f t="shared" si="5"/>
        <v>3262.0000000000005</v>
      </c>
      <c r="AB21" s="37"/>
      <c r="AC21" s="30">
        <f t="shared" si="6"/>
        <v>6738</v>
      </c>
    </row>
    <row r="22" spans="5:29" x14ac:dyDescent="0.25">
      <c r="E22" s="29">
        <v>16</v>
      </c>
      <c r="F22" s="23" t="s">
        <v>19</v>
      </c>
      <c r="G22" s="23" t="s">
        <v>13</v>
      </c>
      <c r="H22" s="24">
        <f t="shared" si="0"/>
        <v>10000</v>
      </c>
      <c r="I22" s="23" t="s">
        <v>14</v>
      </c>
      <c r="J22" s="23" t="s">
        <v>15</v>
      </c>
      <c r="K22" s="25">
        <f t="shared" si="8"/>
        <v>3.2199999999999999E-2</v>
      </c>
      <c r="L22" s="23" t="s">
        <v>16</v>
      </c>
      <c r="M22" s="25">
        <f t="shared" si="1"/>
        <v>1.54E-2</v>
      </c>
      <c r="N22" s="25" t="s">
        <v>16</v>
      </c>
      <c r="O22" s="23" t="s">
        <v>15</v>
      </c>
      <c r="P22" s="23">
        <v>16</v>
      </c>
      <c r="Q22" s="23" t="s">
        <v>17</v>
      </c>
      <c r="R22" s="23">
        <v>1</v>
      </c>
      <c r="S22" s="23" t="s">
        <v>18</v>
      </c>
      <c r="T22" s="23" t="s">
        <v>14</v>
      </c>
      <c r="U22" s="25">
        <f t="shared" si="2"/>
        <v>1.9900000000000001E-2</v>
      </c>
      <c r="V22" s="23" t="s">
        <v>13</v>
      </c>
      <c r="W22" s="24">
        <f t="shared" si="3"/>
        <v>10000</v>
      </c>
      <c r="X22" s="23" t="s">
        <v>14</v>
      </c>
      <c r="Y22" s="25">
        <f t="shared" si="4"/>
        <v>0.34609999999999996</v>
      </c>
      <c r="Z22" s="23" t="s">
        <v>13</v>
      </c>
      <c r="AA22" s="37">
        <f t="shared" si="5"/>
        <v>3460.9999999999995</v>
      </c>
      <c r="AB22" s="37"/>
      <c r="AC22" s="30">
        <f t="shared" si="6"/>
        <v>6539</v>
      </c>
    </row>
    <row r="23" spans="5:29" x14ac:dyDescent="0.25">
      <c r="E23" s="29">
        <v>17</v>
      </c>
      <c r="F23" s="23" t="s">
        <v>19</v>
      </c>
      <c r="G23" s="23" t="s">
        <v>13</v>
      </c>
      <c r="H23" s="24">
        <f t="shared" si="0"/>
        <v>10000</v>
      </c>
      <c r="I23" s="23" t="s">
        <v>14</v>
      </c>
      <c r="J23" s="23" t="s">
        <v>15</v>
      </c>
      <c r="K23" s="25">
        <f t="shared" si="8"/>
        <v>3.2199999999999999E-2</v>
      </c>
      <c r="L23" s="23" t="s">
        <v>16</v>
      </c>
      <c r="M23" s="25">
        <f t="shared" si="1"/>
        <v>1.54E-2</v>
      </c>
      <c r="N23" s="25" t="s">
        <v>16</v>
      </c>
      <c r="O23" s="23" t="s">
        <v>15</v>
      </c>
      <c r="P23" s="23">
        <v>17</v>
      </c>
      <c r="Q23" s="23" t="s">
        <v>17</v>
      </c>
      <c r="R23" s="23">
        <v>1</v>
      </c>
      <c r="S23" s="23" t="s">
        <v>18</v>
      </c>
      <c r="T23" s="23" t="s">
        <v>14</v>
      </c>
      <c r="U23" s="25">
        <f t="shared" si="2"/>
        <v>1.9900000000000001E-2</v>
      </c>
      <c r="V23" s="23" t="s">
        <v>13</v>
      </c>
      <c r="W23" s="24">
        <f t="shared" si="3"/>
        <v>10000</v>
      </c>
      <c r="X23" s="23" t="s">
        <v>14</v>
      </c>
      <c r="Y23" s="25">
        <f t="shared" si="4"/>
        <v>0.36599999999999999</v>
      </c>
      <c r="Z23" s="23" t="s">
        <v>13</v>
      </c>
      <c r="AA23" s="37">
        <f t="shared" si="5"/>
        <v>3660</v>
      </c>
      <c r="AB23" s="37"/>
      <c r="AC23" s="30">
        <f t="shared" si="6"/>
        <v>6340</v>
      </c>
    </row>
    <row r="24" spans="5:29" x14ac:dyDescent="0.25">
      <c r="E24" s="29">
        <v>18</v>
      </c>
      <c r="F24" s="23" t="s">
        <v>19</v>
      </c>
      <c r="G24" s="23" t="s">
        <v>13</v>
      </c>
      <c r="H24" s="24">
        <f t="shared" si="0"/>
        <v>10000</v>
      </c>
      <c r="I24" s="23" t="s">
        <v>14</v>
      </c>
      <c r="J24" s="23" t="s">
        <v>15</v>
      </c>
      <c r="K24" s="25">
        <f t="shared" si="8"/>
        <v>3.2199999999999999E-2</v>
      </c>
      <c r="L24" s="23" t="s">
        <v>16</v>
      </c>
      <c r="M24" s="25">
        <f t="shared" si="1"/>
        <v>1.54E-2</v>
      </c>
      <c r="N24" s="25" t="s">
        <v>16</v>
      </c>
      <c r="O24" s="23" t="s">
        <v>15</v>
      </c>
      <c r="P24" s="23">
        <v>18</v>
      </c>
      <c r="Q24" s="23" t="s">
        <v>17</v>
      </c>
      <c r="R24" s="23">
        <v>1</v>
      </c>
      <c r="S24" s="23" t="s">
        <v>18</v>
      </c>
      <c r="T24" s="23" t="s">
        <v>14</v>
      </c>
      <c r="U24" s="25">
        <f t="shared" si="2"/>
        <v>1.9900000000000001E-2</v>
      </c>
      <c r="V24" s="23" t="s">
        <v>13</v>
      </c>
      <c r="W24" s="24">
        <f t="shared" si="3"/>
        <v>10000</v>
      </c>
      <c r="X24" s="23" t="s">
        <v>14</v>
      </c>
      <c r="Y24" s="25">
        <f t="shared" si="4"/>
        <v>0.38590000000000002</v>
      </c>
      <c r="Z24" s="23" t="s">
        <v>13</v>
      </c>
      <c r="AA24" s="37">
        <f t="shared" si="5"/>
        <v>3859</v>
      </c>
      <c r="AB24" s="37"/>
      <c r="AC24" s="30">
        <f t="shared" si="6"/>
        <v>6141</v>
      </c>
    </row>
    <row r="25" spans="5:29" x14ac:dyDescent="0.25">
      <c r="E25" s="29">
        <v>19</v>
      </c>
      <c r="F25" s="23" t="s">
        <v>19</v>
      </c>
      <c r="G25" s="23" t="s">
        <v>13</v>
      </c>
      <c r="H25" s="24">
        <f t="shared" si="0"/>
        <v>10000</v>
      </c>
      <c r="I25" s="23" t="s">
        <v>14</v>
      </c>
      <c r="J25" s="23" t="s">
        <v>15</v>
      </c>
      <c r="K25" s="25">
        <f t="shared" si="8"/>
        <v>3.2199999999999999E-2</v>
      </c>
      <c r="L25" s="23" t="s">
        <v>16</v>
      </c>
      <c r="M25" s="25">
        <f t="shared" si="1"/>
        <v>1.54E-2</v>
      </c>
      <c r="N25" s="25" t="s">
        <v>16</v>
      </c>
      <c r="O25" s="23" t="s">
        <v>15</v>
      </c>
      <c r="P25" s="23">
        <v>19</v>
      </c>
      <c r="Q25" s="23" t="s">
        <v>17</v>
      </c>
      <c r="R25" s="23">
        <v>1</v>
      </c>
      <c r="S25" s="23" t="s">
        <v>18</v>
      </c>
      <c r="T25" s="23" t="s">
        <v>14</v>
      </c>
      <c r="U25" s="25">
        <f t="shared" si="2"/>
        <v>1.9900000000000001E-2</v>
      </c>
      <c r="V25" s="23" t="s">
        <v>13</v>
      </c>
      <c r="W25" s="24">
        <f t="shared" si="3"/>
        <v>10000</v>
      </c>
      <c r="X25" s="23" t="s">
        <v>14</v>
      </c>
      <c r="Y25" s="25">
        <f t="shared" si="4"/>
        <v>0.40580000000000005</v>
      </c>
      <c r="Z25" s="23" t="s">
        <v>13</v>
      </c>
      <c r="AA25" s="37">
        <f t="shared" si="5"/>
        <v>4058.0000000000005</v>
      </c>
      <c r="AB25" s="37"/>
      <c r="AC25" s="30">
        <f t="shared" si="6"/>
        <v>5942</v>
      </c>
    </row>
    <row r="26" spans="5:29" x14ac:dyDescent="0.25">
      <c r="E26" s="29">
        <v>20</v>
      </c>
      <c r="F26" s="23" t="s">
        <v>19</v>
      </c>
      <c r="G26" s="23" t="s">
        <v>13</v>
      </c>
      <c r="H26" s="24">
        <f t="shared" si="0"/>
        <v>10000</v>
      </c>
      <c r="I26" s="23" t="s">
        <v>14</v>
      </c>
      <c r="J26" s="23" t="s">
        <v>15</v>
      </c>
      <c r="K26" s="25">
        <f t="shared" si="8"/>
        <v>3.2199999999999999E-2</v>
      </c>
      <c r="L26" s="23" t="s">
        <v>16</v>
      </c>
      <c r="M26" s="25">
        <f t="shared" si="1"/>
        <v>1.54E-2</v>
      </c>
      <c r="N26" s="25" t="s">
        <v>16</v>
      </c>
      <c r="O26" s="23" t="s">
        <v>15</v>
      </c>
      <c r="P26" s="23">
        <v>20</v>
      </c>
      <c r="Q26" s="23" t="s">
        <v>17</v>
      </c>
      <c r="R26" s="23">
        <v>1</v>
      </c>
      <c r="S26" s="23" t="s">
        <v>18</v>
      </c>
      <c r="T26" s="23" t="s">
        <v>14</v>
      </c>
      <c r="U26" s="25">
        <f t="shared" si="2"/>
        <v>1.9900000000000001E-2</v>
      </c>
      <c r="V26" s="23" t="s">
        <v>13</v>
      </c>
      <c r="W26" s="24">
        <f t="shared" si="3"/>
        <v>10000</v>
      </c>
      <c r="X26" s="23" t="s">
        <v>14</v>
      </c>
      <c r="Y26" s="25">
        <f t="shared" si="4"/>
        <v>0.42569999999999997</v>
      </c>
      <c r="Z26" s="23" t="s">
        <v>13</v>
      </c>
      <c r="AA26" s="37">
        <f t="shared" si="5"/>
        <v>4257</v>
      </c>
      <c r="AB26" s="37"/>
      <c r="AC26" s="30">
        <f t="shared" si="6"/>
        <v>5743</v>
      </c>
    </row>
    <row r="27" spans="5:29" ht="15.75" thickBot="1" x14ac:dyDescent="0.3">
      <c r="E27" s="20">
        <v>21</v>
      </c>
      <c r="F27" s="26" t="s">
        <v>19</v>
      </c>
      <c r="G27" s="26" t="s">
        <v>13</v>
      </c>
      <c r="H27" s="27">
        <f t="shared" si="0"/>
        <v>10000</v>
      </c>
      <c r="I27" s="26" t="s">
        <v>14</v>
      </c>
      <c r="J27" s="26" t="s">
        <v>15</v>
      </c>
      <c r="K27" s="28">
        <f t="shared" si="8"/>
        <v>3.2199999999999999E-2</v>
      </c>
      <c r="L27" s="26" t="s">
        <v>16</v>
      </c>
      <c r="M27" s="28">
        <f t="shared" si="1"/>
        <v>1.54E-2</v>
      </c>
      <c r="N27" s="28" t="s">
        <v>16</v>
      </c>
      <c r="O27" s="26" t="s">
        <v>15</v>
      </c>
      <c r="P27" s="26">
        <v>21</v>
      </c>
      <c r="Q27" s="26" t="s">
        <v>17</v>
      </c>
      <c r="R27" s="26">
        <v>1</v>
      </c>
      <c r="S27" s="26" t="s">
        <v>18</v>
      </c>
      <c r="T27" s="26" t="s">
        <v>14</v>
      </c>
      <c r="U27" s="28">
        <f t="shared" si="2"/>
        <v>1.9900000000000001E-2</v>
      </c>
      <c r="V27" s="26" t="s">
        <v>13</v>
      </c>
      <c r="W27" s="27">
        <f t="shared" si="3"/>
        <v>10000</v>
      </c>
      <c r="X27" s="26" t="s">
        <v>14</v>
      </c>
      <c r="Y27" s="28">
        <f t="shared" si="4"/>
        <v>0.4456</v>
      </c>
      <c r="Z27" s="26" t="s">
        <v>13</v>
      </c>
      <c r="AA27" s="38">
        <f t="shared" si="5"/>
        <v>4456</v>
      </c>
      <c r="AB27" s="38"/>
      <c r="AC27" s="31">
        <f t="shared" si="6"/>
        <v>5544</v>
      </c>
    </row>
    <row r="28" spans="5:29" x14ac:dyDescent="0.25"/>
  </sheetData>
  <mergeCells count="26">
    <mergeCell ref="AA23:AB23"/>
    <mergeCell ref="AA24:AB24"/>
    <mergeCell ref="AA25:AB25"/>
    <mergeCell ref="AA26:AB26"/>
    <mergeCell ref="AA27:AB27"/>
    <mergeCell ref="AA22:AB22"/>
    <mergeCell ref="AA11:AB11"/>
    <mergeCell ref="AA12:AB12"/>
    <mergeCell ref="AA13:AB13"/>
    <mergeCell ref="AA14:AB14"/>
    <mergeCell ref="AA15:AB15"/>
    <mergeCell ref="AA16:AB16"/>
    <mergeCell ref="AA17:AB17"/>
    <mergeCell ref="AA18:AB18"/>
    <mergeCell ref="AA19:AB19"/>
    <mergeCell ref="AA20:AB20"/>
    <mergeCell ref="AA21:AB21"/>
    <mergeCell ref="B10:C10"/>
    <mergeCell ref="AA8:AB8"/>
    <mergeCell ref="AA9:AB9"/>
    <mergeCell ref="AA10:AB10"/>
    <mergeCell ref="B2:C2"/>
    <mergeCell ref="F2:AB2"/>
    <mergeCell ref="F3:AB3"/>
    <mergeCell ref="F6:AB6"/>
    <mergeCell ref="AA7:AB7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simulador_mdr-flex (simples)</vt:lpstr>
      <vt:lpstr>simulador_mdr-flex (detalhado)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Vinicius Almeida</dc:creator>
  <cp:lastModifiedBy>Vinicius Almeida</cp:lastModifiedBy>
  <dcterms:created xsi:type="dcterms:W3CDTF">2025-11-04T22:58:10Z</dcterms:created>
  <dcterms:modified xsi:type="dcterms:W3CDTF">2025-11-06T23:25:33Z</dcterms:modified>
</cp:coreProperties>
</file>