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lm\Downloads\"/>
    </mc:Choice>
  </mc:AlternateContent>
  <xr:revisionPtr revIDLastSave="0" documentId="13_ncr:1_{6F29349A-DB2E-4D20-86AB-26FCE9594C0C}" xr6:coauthVersionLast="47" xr6:coauthVersionMax="47" xr10:uidLastSave="{00000000-0000-0000-0000-000000000000}"/>
  <bookViews>
    <workbookView xWindow="-120" yWindow="-120" windowWidth="20730" windowHeight="11040" xr2:uid="{0FE45A31-BAD6-49F2-9183-8096D22DC2D6}"/>
  </bookViews>
  <sheets>
    <sheet name="simulador_mdr-flex (simples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1" l="1"/>
  <c r="AE3" i="1"/>
  <c r="V7" i="1"/>
  <c r="L7" i="1"/>
  <c r="J7" i="1"/>
  <c r="G7" i="1"/>
  <c r="O7" i="1"/>
  <c r="T7" i="1"/>
  <c r="C10" i="1" l="1"/>
  <c r="C11" i="1"/>
  <c r="X7" i="1" s="1"/>
  <c r="Z7" i="1" s="1"/>
  <c r="C12" i="1"/>
</calcChain>
</file>

<file path=xl/sharedStrings.xml><?xml version="1.0" encoding="utf-8"?>
<sst xmlns="http://schemas.openxmlformats.org/spreadsheetml/2006/main" count="32" uniqueCount="24">
  <si>
    <t>Dados da Venda</t>
  </si>
  <si>
    <t>Valor da Venda (Valor Bruto)</t>
  </si>
  <si>
    <t>Fator Base</t>
  </si>
  <si>
    <t>Fator 1ª</t>
  </si>
  <si>
    <t>Fator Parcela Adicional</t>
  </si>
  <si>
    <t>Conversão para o calculo</t>
  </si>
  <si>
    <t>Fator Base em Decimal</t>
  </si>
  <si>
    <t>Fator 1ª em Decimal</t>
  </si>
  <si>
    <t>Fator Parcela Adicional em Decimal</t>
  </si>
  <si>
    <t>Parcelamento</t>
  </si>
  <si>
    <t>Formula de Calculo</t>
  </si>
  <si>
    <t>Calculo da Venda</t>
  </si>
  <si>
    <t>Valor Líquido</t>
  </si>
  <si>
    <t>=</t>
  </si>
  <si>
    <t>x</t>
  </si>
  <si>
    <t>(</t>
  </si>
  <si>
    <t>+</t>
  </si>
  <si>
    <t>-</t>
  </si>
  <si>
    <t>)</t>
  </si>
  <si>
    <t>Total de Taxa</t>
  </si>
  <si>
    <t xml:space="preserve">Total de Taxa = Valor Bruto x (Fator Base + Fator 1ª + (Parcelas - 1) x Fator Adicional) = Valor Bruto x Taxa de Bandeira = Total de Taxa </t>
  </si>
  <si>
    <t xml:space="preserve">Total de Taxa </t>
  </si>
  <si>
    <t xml:space="preserve">Valor Liquidado </t>
  </si>
  <si>
    <t xml:space="preserve">Valor Taxado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</si>
</sst>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$-416]\ * #,##0.00_-;\-[$R$-416]\ * #,##0.00_-;_-[$R$-416]\ * &quot;-&quot;??_-;_-@_-"/>
    <numFmt numFmtId="165" formatCode="0.0000"/>
    <numFmt numFmtId="166" formatCode="_-[$R$-416]\ * #,##0.00_-;\-[$R$-416]\ * #,##0.00_-;_-[$R$-416]\ * &quot;-&quot;????_-;_-@_-"/>
    <numFmt numFmtId="167" formatCode="_-[$R$-416]\ * #,##0.00_-;\-[$R$-416]\ * #,##0.00_-;_-[$R$-416]\ * &quot;-&quot;?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164" fontId="0" fillId="3" borderId="1" xfId="0" applyNumberFormat="1" applyFill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0" fontId="0" fillId="2" borderId="5" xfId="0" applyFill="1" applyBorder="1"/>
    <xf numFmtId="165" fontId="0" fillId="2" borderId="2" xfId="1" applyNumberFormat="1" applyFont="1" applyFill="1" applyBorder="1" applyAlignment="1">
      <alignment horizontal="center" vertical="center"/>
    </xf>
    <xf numFmtId="0" fontId="0" fillId="2" borderId="7" xfId="0" applyFill="1" applyBorder="1"/>
    <xf numFmtId="10" fontId="0" fillId="3" borderId="1" xfId="0" applyNumberForma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2" borderId="0" xfId="0" applyNumberFormat="1" applyFill="1"/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165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/>
    <xf numFmtId="0" fontId="0" fillId="2" borderId="16" xfId="0" applyFill="1" applyBorder="1"/>
    <xf numFmtId="167" fontId="0" fillId="4" borderId="17" xfId="0" applyNumberFormat="1" applyFill="1" applyBorder="1"/>
    <xf numFmtId="0" fontId="0" fillId="2" borderId="18" xfId="0" applyFill="1" applyBorder="1"/>
    <xf numFmtId="0" fontId="0" fillId="2" borderId="19" xfId="0" applyFill="1" applyBorder="1"/>
    <xf numFmtId="164" fontId="0" fillId="5" borderId="20" xfId="0" applyNumberFormat="1" applyFill="1" applyBorder="1"/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2" borderId="5" xfId="0" applyFill="1" applyBorder="1" applyAlignment="1">
      <alignment horizontal="center" vertical="center"/>
    </xf>
    <xf numFmtId="0" fontId="0" fillId="0" borderId="8" xfId="0" applyBorder="1"/>
    <xf numFmtId="0" fontId="0" fillId="0" borderId="2" xfId="0" applyBorder="1"/>
    <xf numFmtId="0" fontId="0" fillId="2" borderId="3" xfId="0" applyFill="1" applyBorder="1" applyAlignment="1">
      <alignment horizontal="center" vertical="center"/>
    </xf>
    <xf numFmtId="0" fontId="0" fillId="0" borderId="9" xfId="0" applyBorder="1"/>
    <xf numFmtId="0" fontId="0" fillId="0" borderId="4" xfId="0" applyBorder="1"/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369794</xdr:colOff>
      <xdr:row>6</xdr:row>
      <xdr:rowOff>201703</xdr:rowOff>
    </xdr:from>
    <xdr:ext cx="2095500" cy="8740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47BB372-CC89-D4DA-8ABB-D05DBE9EA62B}"/>
            </a:ext>
          </a:extLst>
        </xdr:cNvPr>
        <xdr:cNvSpPr txBox="1"/>
      </xdr:nvSpPr>
      <xdr:spPr>
        <a:xfrm>
          <a:off x="11620500" y="1199027"/>
          <a:ext cx="2095500" cy="87406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Modifique somente as partes destacadas em cinza.</a:t>
          </a:r>
          <a:endParaRPr lang="en-US">
            <a:effectLst/>
          </a:endParaRP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B8B7-4418-43F0-ADF0-9E6EB0853C92}">
  <dimension ref="A1:AF13"/>
  <sheetViews>
    <sheetView tabSelected="1" zoomScale="85" zoomScaleNormal="85" workbookViewId="0">
      <selection activeCell="AE3" sqref="AE3"/>
    </sheetView>
  </sheetViews>
  <sheetFormatPr defaultColWidth="0" defaultRowHeight="15" zeroHeight="1" x14ac:dyDescent="0.25"/>
  <cols>
    <col min="1" max="1" width="5.7109375" style="1" customWidth="1"/>
    <col min="2" max="2" width="33.140625" style="1" bestFit="1" customWidth="1"/>
    <col min="3" max="3" width="12.140625" style="1" bestFit="1" customWidth="1"/>
    <col min="4" max="4" width="5.7109375" style="1" customWidth="1"/>
    <col min="5" max="5" width="12.5703125" style="1" bestFit="1" customWidth="1"/>
    <col min="6" max="6" width="2.140625" style="1" bestFit="1" customWidth="1"/>
    <col min="7" max="7" width="12.140625" style="1" bestFit="1" customWidth="1"/>
    <col min="8" max="8" width="2" style="1" bestFit="1" customWidth="1"/>
    <col min="9" max="9" width="1.85546875" style="1" bestFit="1" customWidth="1"/>
    <col min="10" max="10" width="6.7109375" style="1" bestFit="1" customWidth="1"/>
    <col min="11" max="11" width="2.140625" style="1" bestFit="1" customWidth="1"/>
    <col min="12" max="12" width="6.7109375" style="1" bestFit="1" customWidth="1"/>
    <col min="13" max="13" width="2.140625" style="1" bestFit="1" customWidth="1"/>
    <col min="14" max="14" width="1.85546875" style="1" bestFit="1" customWidth="1"/>
    <col min="15" max="15" width="2.140625" style="1" bestFit="1" customWidth="1"/>
    <col min="16" max="16" width="1.85546875" style="1" bestFit="1" customWidth="1"/>
    <col min="17" max="17" width="2.140625" style="1" bestFit="1" customWidth="1"/>
    <col min="18" max="18" width="1.85546875" style="1" bestFit="1" customWidth="1"/>
    <col min="19" max="19" width="2" style="1" bestFit="1" customWidth="1"/>
    <col min="20" max="20" width="6.7109375" style="1" bestFit="1" customWidth="1"/>
    <col min="21" max="21" width="2.140625" style="1" bestFit="1" customWidth="1"/>
    <col min="22" max="22" width="12.140625" style="1" bestFit="1" customWidth="1"/>
    <col min="23" max="23" width="2" style="1" bestFit="1" customWidth="1"/>
    <col min="24" max="24" width="6.7109375" style="1" bestFit="1" customWidth="1"/>
    <col min="25" max="25" width="2.140625" style="1" bestFit="1" customWidth="1"/>
    <col min="26" max="26" width="10.5703125" style="1" bestFit="1" customWidth="1"/>
    <col min="27" max="27" width="5.42578125" style="1" customWidth="1"/>
    <col min="28" max="28" width="5.7109375" style="1" customWidth="1"/>
    <col min="29" max="29" width="15.5703125" style="1" bestFit="1" customWidth="1"/>
    <col min="30" max="30" width="2.140625" style="1" bestFit="1" customWidth="1"/>
    <col min="31" max="31" width="13.140625" style="1" bestFit="1" customWidth="1"/>
    <col min="32" max="32" width="5.7109375" style="1" customWidth="1"/>
    <col min="33" max="16384" width="9.140625" style="1" hidden="1"/>
  </cols>
  <sheetData>
    <row r="1" spans="2:31" ht="15.75" thickBot="1" x14ac:dyDescent="0.3"/>
    <row r="2" spans="2:31" x14ac:dyDescent="0.25">
      <c r="B2" s="35" t="s">
        <v>0</v>
      </c>
      <c r="C2" s="36"/>
      <c r="E2" s="32" t="s">
        <v>10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4"/>
      <c r="AC2" s="16" t="s">
        <v>12</v>
      </c>
      <c r="AD2" s="17" t="s">
        <v>13</v>
      </c>
      <c r="AE2" s="18">
        <f>C3-Z7</f>
        <v>4714.5</v>
      </c>
    </row>
    <row r="3" spans="2:31" ht="15.75" thickBot="1" x14ac:dyDescent="0.3">
      <c r="B3" s="6" t="s">
        <v>1</v>
      </c>
      <c r="C3" s="2">
        <v>5000</v>
      </c>
      <c r="D3" s="11"/>
      <c r="E3" s="29" t="s">
        <v>20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1"/>
      <c r="AC3" s="19" t="s">
        <v>21</v>
      </c>
      <c r="AD3" s="20" t="s">
        <v>13</v>
      </c>
      <c r="AE3" s="21">
        <f>Z7</f>
        <v>285.5</v>
      </c>
    </row>
    <row r="4" spans="2:31" x14ac:dyDescent="0.25">
      <c r="B4" s="6" t="s">
        <v>9</v>
      </c>
      <c r="C4" s="9">
        <v>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2:31" ht="15.75" thickBot="1" x14ac:dyDescent="0.3">
      <c r="B5" s="6" t="s">
        <v>2</v>
      </c>
      <c r="C5" s="7">
        <v>2.18E-2</v>
      </c>
      <c r="D5" s="11"/>
    </row>
    <row r="6" spans="2:31" ht="15.75" thickBot="1" x14ac:dyDescent="0.3">
      <c r="B6" s="6" t="s">
        <v>3</v>
      </c>
      <c r="C6" s="7">
        <v>1.54E-2</v>
      </c>
      <c r="E6" s="24" t="s">
        <v>11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6"/>
      <c r="AC6" s="22" t="s">
        <v>22</v>
      </c>
      <c r="AE6" s="23" t="s">
        <v>23</v>
      </c>
    </row>
    <row r="7" spans="2:31" ht="15.75" thickBot="1" x14ac:dyDescent="0.3">
      <c r="B7" s="4" t="s">
        <v>4</v>
      </c>
      <c r="C7" s="3">
        <v>1.9900000000000001E-2</v>
      </c>
      <c r="E7" s="12" t="s">
        <v>19</v>
      </c>
      <c r="F7" s="13" t="s">
        <v>13</v>
      </c>
      <c r="G7" s="14">
        <f>C3</f>
        <v>5000</v>
      </c>
      <c r="H7" s="13" t="s">
        <v>14</v>
      </c>
      <c r="I7" s="13" t="s">
        <v>15</v>
      </c>
      <c r="J7" s="15">
        <f>C10</f>
        <v>2.18E-2</v>
      </c>
      <c r="K7" s="13" t="s">
        <v>16</v>
      </c>
      <c r="L7" s="15">
        <f>C11</f>
        <v>1.54E-2</v>
      </c>
      <c r="M7" s="15" t="s">
        <v>16</v>
      </c>
      <c r="N7" s="13" t="s">
        <v>15</v>
      </c>
      <c r="O7" s="13">
        <f>C4</f>
        <v>2</v>
      </c>
      <c r="P7" s="13" t="s">
        <v>17</v>
      </c>
      <c r="Q7" s="13">
        <v>1</v>
      </c>
      <c r="R7" s="13" t="s">
        <v>18</v>
      </c>
      <c r="S7" s="13" t="s">
        <v>14</v>
      </c>
      <c r="T7" s="15">
        <f>C12</f>
        <v>1.9900000000000001E-2</v>
      </c>
      <c r="U7" s="13" t="s">
        <v>13</v>
      </c>
      <c r="V7" s="14">
        <f>C3</f>
        <v>5000</v>
      </c>
      <c r="W7" s="13" t="s">
        <v>14</v>
      </c>
      <c r="X7" s="15">
        <f>(J7+L7 +(O7-1)*T7)</f>
        <v>5.7099999999999998E-2</v>
      </c>
      <c r="Y7" s="13" t="s">
        <v>13</v>
      </c>
      <c r="Z7" s="27">
        <f>V7*X7</f>
        <v>285.5</v>
      </c>
      <c r="AA7" s="28"/>
    </row>
    <row r="8" spans="2:31" ht="15.75" thickBot="1" x14ac:dyDescent="0.3">
      <c r="W8" s="10"/>
    </row>
    <row r="9" spans="2:31" x14ac:dyDescent="0.25">
      <c r="B9" s="35" t="s">
        <v>5</v>
      </c>
      <c r="C9" s="36"/>
    </row>
    <row r="10" spans="2:31" x14ac:dyDescent="0.25">
      <c r="B10" s="6" t="s">
        <v>6</v>
      </c>
      <c r="C10" s="8">
        <f>C5/1</f>
        <v>2.18E-2</v>
      </c>
    </row>
    <row r="11" spans="2:31" x14ac:dyDescent="0.25">
      <c r="B11" s="6" t="s">
        <v>7</v>
      </c>
      <c r="C11" s="8">
        <f t="shared" ref="C11" si="0">C6/1</f>
        <v>1.54E-2</v>
      </c>
    </row>
    <row r="12" spans="2:31" ht="15.75" thickBot="1" x14ac:dyDescent="0.3">
      <c r="B12" s="4" t="s">
        <v>8</v>
      </c>
      <c r="C12" s="5">
        <f>C7/1</f>
        <v>1.9900000000000001E-2</v>
      </c>
    </row>
    <row r="13" spans="2:31" x14ac:dyDescent="0.25"/>
  </sheetData>
  <mergeCells count="6">
    <mergeCell ref="B9:C9"/>
    <mergeCell ref="E6:AA6"/>
    <mergeCell ref="Z7:AA7"/>
    <mergeCell ref="E3:AA3"/>
    <mergeCell ref="E2:AA2"/>
    <mergeCell ref="B2:C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simulador_mdr-flex (simples)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Almeida</dc:creator>
  <cp:lastModifiedBy>Vinicius Almeida</cp:lastModifiedBy>
  <dcterms:created xsi:type="dcterms:W3CDTF">2025-11-04T22:58:10Z</dcterms:created>
  <dcterms:modified xsi:type="dcterms:W3CDTF">2025-11-05T00:17:07Z</dcterms:modified>
</cp:coreProperties>
</file>